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<sst xmlns="http://schemas.openxmlformats.org/spreadsheetml/2006/main" count="38" uniqueCount="37">
  <si>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ogólna suma</t>
  </si>
  <si>
    <t>część/element</t>
  </si>
  <si>
    <t>cena</t>
  </si>
  <si>
    <t>link</t>
  </si>
  <si>
    <t>Blacharka</t>
  </si>
  <si>
    <t>-</t>
  </si>
  <si>
    <t>progi zew. komplet</t>
  </si>
  <si>
    <t>https://allegro.pl/oferta/prog-progi-le-pr-vw-golf-ii-jetta-5d-83-92-ocynk-12138708345</t>
  </si>
  <si>
    <t>podłoga golf III</t>
  </si>
  <si>
    <t>(620</t>
  </si>
  <si>
    <t>https://allegro.pl/oferta/vw-golf-iii-podloga-reperaturka-podlogi-klokker-prawa-10110952779</t>
  </si>
  <si>
    <t>pas tylny dolny</t>
  </si>
  <si>
    <t>https://allegro.pl/oferta/vw-golf-ii-mk2-83-92-pas-tyl-tylny-dolny-nowy-13285088132</t>
  </si>
  <si>
    <t>blacha 1.5mm</t>
  </si>
  <si>
    <t>+/-500</t>
  </si>
  <si>
    <t>https://www.stalserwis24.pl/asortyment/blachy/blachy-zimnowalcowane/blacha-15-x-1250-x-2500/</t>
  </si>
  <si>
    <t>Podwozie</t>
  </si>
  <si>
    <t>tarcze, klocki przód KPL</t>
  </si>
  <si>
    <t>https://allegro.pl/oferta/tarcza-x2-klocki-przod-seat-volkswagen-cordoba-golf-ii-iii-ibiza-6517575922</t>
  </si>
  <si>
    <t>amortyzatory przód KPL</t>
  </si>
  <si>
    <t>https://allegro.pl/oferta/amortyzatory-sprezyny-poduszki-vw-golf-ii-iii-kpl-14255829843</t>
  </si>
  <si>
    <t>wahacze przód KPL</t>
  </si>
  <si>
    <t>https://allegro.pl/oferta/2x-wahacz-komplet-sworznie-tuleje-vw-golf-ii-jetta-ii-polo-cordoba-toledo-i-15444402280</t>
  </si>
  <si>
    <t>końcówka drążka P</t>
  </si>
  <si>
    <t>https://allegro.pl/oferta/koncowka-drazka-vw-golf-ii-iii-iv-passat-88-prawa-191419812-18034144690</t>
  </si>
  <si>
    <t>końcówka drążka L</t>
  </si>
  <si>
    <t>https://allegro.pl/oferta/koncowka-drazka-golf-ii-golf-iii-ibiza-02-lewa-jte344-191419811-18034142897</t>
  </si>
  <si>
    <t>sanki</t>
  </si>
  <si>
    <t>https://allegro.pl/oferta/rama-belka-sanki-wozek-kolyska-przod-vw-golf-ii-seat-toledo-i-17858721888</t>
  </si>
  <si>
    <t>Dodatkowe wyposażenie</t>
  </si>
  <si>
    <t>i elementy ekploatacyjne(tarcze, gaz, drut)</t>
  </si>
  <si>
    <t>flecarka</t>
  </si>
  <si>
    <t>https://allegro.pl/oferta/dziurkarko-felcarka-pneumatyczna-5mm-ne00588-16123509982</t>
  </si>
  <si>
    <t>drut 0.8 5kg</t>
  </si>
  <si>
    <t>https://allegro.pl/oferta/drut-spawalniczy-gold-sg2-0-8-mm-5-kg-15880921653</t>
  </si>
  <si>
    <t>końcówka do miga 0.8</t>
  </si>
  <si>
    <t>https://allegro.pl/produkt/koncowka-pradowa-1-0mm-mb-501-m8x30x9-57feb2e6-266e-4cd9-ae34-b162f60f4783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</si>
</sst>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n">
        <color auto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7" applyNumberFormat="0" applyFill="0" applyAlignment="0" applyProtection="0">
      <alignment vertical="center"/>
    </xf>
    <xf numFmtId="0" fontId="7" fillId="0" borderId="17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9" applyNumberFormat="0" applyAlignment="0" applyProtection="0">
      <alignment vertical="center"/>
    </xf>
    <xf numFmtId="0" fontId="10" fillId="4" borderId="20" applyNumberFormat="0" applyAlignment="0" applyProtection="0">
      <alignment vertical="center"/>
    </xf>
    <xf numFmtId="0" fontId="11" fillId="4" borderId="19" applyNumberFormat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6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6" applyFont="1" applyBorder="1" applyAlignment="1">
      <alignment horizontal="center" vertical="center"/>
    </xf>
    <xf numFmtId="0" fontId="2" fillId="0" borderId="7" xfId="6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6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3" xfId="6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3" xfId="6" applyFont="1" applyBorder="1" applyAlignment="1">
      <alignment horizontal="center" vertical="center"/>
    </xf>
    <xf numFmtId="0" fontId="0" fillId="0" borderId="7" xfId="0" applyBorder="1" applyAlignment="1" quotePrefix="1">
      <alignment horizontal="center"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llegro.pl/oferta/amortyzatory-sprezyny-poduszki-vw-golf-ii-iii-kpl-14255829843" TargetMode="External"/><Relationship Id="rId8" Type="http://schemas.openxmlformats.org/officeDocument/2006/relationships/hyperlink" Target="https://allegro.pl/oferta/tarcza-x2-klocki-przod-seat-volkswagen-cordoba-golf-ii-iii-ibiza-6517575922" TargetMode="External"/><Relationship Id="rId7" Type="http://schemas.openxmlformats.org/officeDocument/2006/relationships/hyperlink" Target="https://allegro.pl/produkt/koncowka-pradowa-1-0mm-mb-501-m8x30x9-57feb2e6-266e-4cd9-ae34-b162f60f4783" TargetMode="External"/><Relationship Id="rId6" Type="http://schemas.openxmlformats.org/officeDocument/2006/relationships/hyperlink" Target="https://allegro.pl/oferta/drut-spawalniczy-gold-sg2-0-8-mm-5-kg-15880921653" TargetMode="External"/><Relationship Id="rId5" Type="http://schemas.openxmlformats.org/officeDocument/2006/relationships/hyperlink" Target="https://www.stalserwis24.pl/asortyment/blachy/blachy-zimnowalcowane/blacha-15-x-1250-x-2500/" TargetMode="External"/><Relationship Id="rId4" Type="http://schemas.openxmlformats.org/officeDocument/2006/relationships/hyperlink" Target="https://allegro.pl/oferta/dziurkarko-felcarka-pneumatyczna-5mm-ne00588-16123509982" TargetMode="External"/><Relationship Id="rId3" Type="http://schemas.openxmlformats.org/officeDocument/2006/relationships/hyperlink" Target="https://allegro.pl/oferta/vw-golf-ii-mk2-83-92-pas-tyl-tylny-dolny-nowy-13285088132" TargetMode="External"/><Relationship Id="rId2" Type="http://schemas.openxmlformats.org/officeDocument/2006/relationships/hyperlink" Target="https://allegro.pl/oferta/vw-golf-iii-podloga-reperaturka-podlogi-klokker-prawa-10110952779" TargetMode="External"/><Relationship Id="rId13" Type="http://schemas.openxmlformats.org/officeDocument/2006/relationships/hyperlink" Target="https://allegro.pl/oferta/rama-belka-sanki-wozek-kolyska-przod-vw-golf-ii-seat-toledo-i-17858721888" TargetMode="External"/><Relationship Id="rId12" Type="http://schemas.openxmlformats.org/officeDocument/2006/relationships/hyperlink" Target="https://allegro.pl/oferta/koncowka-drazka-golf-ii-golf-iii-ibiza-02-lewa-jte344-191419811-18034142897" TargetMode="External"/><Relationship Id="rId11" Type="http://schemas.openxmlformats.org/officeDocument/2006/relationships/hyperlink" Target="https://allegro.pl/oferta/koncowka-drazka-vw-golf-ii-iii-iv-passat-88-prawa-191419812-18034144690" TargetMode="External"/><Relationship Id="rId10" Type="http://schemas.openxmlformats.org/officeDocument/2006/relationships/hyperlink" Target="https://allegro.pl/oferta/2x-wahacz-komplet-sworznie-tuleje-vw-golf-ii-jetta-ii-polo-cordoba-toledo-i-15444402280" TargetMode="External"/><Relationship Id="rId1" Type="http://schemas.openxmlformats.org/officeDocument/2006/relationships/hyperlink" Target="https://allegro.pl/oferta/prog-progi-le-pr-vw-golf-ii-jetta-5d-83-92-ocynk-12138708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55"/>
  <sheetViews>
    <sheetView tabSelected="1" topLeftCell="A10" workbookViewId="0">
      <selection activeCell="B27" sqref="B27"/>
    </sheetView>
  </sheetViews>
  <sheetFormatPr defaultColWidth="9.14285714285714" defaultRowHeight="15" outlineLevelCol="3"/>
  <cols>
    <col min="1" max="1" width="9.14285714285714" style="1"/>
    <col min="2" max="2" width="24.8571428571429" style="1" customWidth="1"/>
    <col min="3" max="3" width="9.14285714285714" style="1"/>
    <col min="4" max="4" width="104" style="1" customWidth="1"/>
    <col min="5" max="16384" width="9.14285714285714" style="1"/>
  </cols>
  <sheetData>
    <row r="1" ht="15.75" spans="2:3">
      <c r="B1" s="1" t="s">
        <v>0</v>
      </c>
      <c r="C1" s="1">
        <f>C3+C20+C36</f>
        <v>1634</v>
      </c>
    </row>
    <row r="2" spans="2:4">
      <c r="B2" s="2" t="s">
        <v>1</v>
      </c>
      <c r="C2" s="2" t="s">
        <v>2</v>
      </c>
      <c r="D2" s="3" t="s">
        <v>3</v>
      </c>
    </row>
    <row r="3" ht="15.75" spans="2:4">
      <c r="B3" s="4" t="s">
        <v>4</v>
      </c>
      <c r="C3" s="5">
        <f>SUM(C4:C19)</f>
        <v>280</v>
      </c>
      <c r="D3" s="6" t="s">
        <v>5</v>
      </c>
    </row>
    <row r="4" spans="2:4">
      <c r="B4" s="7" t="s">
        <v>6</v>
      </c>
      <c r="C4" s="7">
        <v>130</v>
      </c>
      <c r="D4" s="8" t="s">
        <v>7</v>
      </c>
    </row>
    <row r="5" spans="2:4">
      <c r="B5" s="9" t="s">
        <v>8</v>
      </c>
      <c r="C5" s="9" t="s">
        <v>9</v>
      </c>
      <c r="D5" s="10" t="s">
        <v>10</v>
      </c>
    </row>
    <row r="6" spans="2:4">
      <c r="B6" s="9" t="s">
        <v>11</v>
      </c>
      <c r="C6" s="9">
        <v>150</v>
      </c>
      <c r="D6" s="11" t="s">
        <v>12</v>
      </c>
    </row>
    <row r="7" spans="2:4">
      <c r="B7" s="9" t="s">
        <v>13</v>
      </c>
      <c r="C7" s="23" t="s">
        <v>14</v>
      </c>
      <c r="D7" s="11" t="s">
        <v>15</v>
      </c>
    </row>
    <row r="8" spans="2:4">
      <c r="B8" s="9"/>
      <c r="C8" s="9"/>
      <c r="D8" s="9"/>
    </row>
    <row r="9" spans="2:4">
      <c r="B9" s="9"/>
      <c r="C9" s="9"/>
      <c r="D9" s="9"/>
    </row>
    <row r="10" spans="2:4">
      <c r="B10" s="9"/>
      <c r="C10" s="9"/>
      <c r="D10" s="9"/>
    </row>
    <row r="11" spans="2:4">
      <c r="B11" s="9"/>
      <c r="C11" s="9"/>
      <c r="D11" s="9"/>
    </row>
    <row r="12" spans="2:4">
      <c r="B12" s="9"/>
      <c r="C12" s="9"/>
      <c r="D12" s="9"/>
    </row>
    <row r="13" spans="2:4">
      <c r="B13" s="9"/>
      <c r="C13" s="9"/>
      <c r="D13" s="9"/>
    </row>
    <row r="14" spans="2:4">
      <c r="B14" s="9"/>
      <c r="C14" s="9"/>
      <c r="D14" s="9"/>
    </row>
    <row r="15" spans="2:4">
      <c r="B15" s="9"/>
      <c r="C15" s="9"/>
      <c r="D15" s="9"/>
    </row>
    <row r="16" spans="2:4">
      <c r="B16" s="9"/>
      <c r="C16" s="9"/>
      <c r="D16" s="9"/>
    </row>
    <row r="17" spans="2:4">
      <c r="B17" s="9"/>
      <c r="C17" s="9"/>
      <c r="D17" s="9"/>
    </row>
    <row r="18" spans="2:4">
      <c r="B18" s="9"/>
      <c r="C18" s="9"/>
      <c r="D18" s="9"/>
    </row>
    <row r="19" spans="2:4">
      <c r="B19" s="12"/>
      <c r="C19" s="12"/>
      <c r="D19" s="12"/>
    </row>
    <row r="20" ht="15.75" spans="2:4">
      <c r="B20" s="13" t="s">
        <v>16</v>
      </c>
      <c r="C20" s="14">
        <f>SUM(C21:C35)</f>
        <v>1127</v>
      </c>
      <c r="D20" s="15" t="s">
        <v>5</v>
      </c>
    </row>
    <row r="21" spans="2:4">
      <c r="B21" s="16" t="s">
        <v>17</v>
      </c>
      <c r="C21" s="16">
        <v>131</v>
      </c>
      <c r="D21" s="17" t="s">
        <v>18</v>
      </c>
    </row>
    <row r="22" spans="2:4">
      <c r="B22" s="18" t="s">
        <v>19</v>
      </c>
      <c r="C22" s="18">
        <v>469</v>
      </c>
      <c r="D22" s="19" t="s">
        <v>20</v>
      </c>
    </row>
    <row r="23" spans="2:4">
      <c r="B23" s="18" t="s">
        <v>21</v>
      </c>
      <c r="C23" s="18">
        <v>160</v>
      </c>
      <c r="D23" s="19" t="s">
        <v>22</v>
      </c>
    </row>
    <row r="24" spans="2:4">
      <c r="B24" s="18" t="s">
        <v>23</v>
      </c>
      <c r="C24" s="18">
        <v>12</v>
      </c>
      <c r="D24" s="19" t="s">
        <v>24</v>
      </c>
    </row>
    <row r="25" spans="2:4">
      <c r="B25" s="18" t="s">
        <v>25</v>
      </c>
      <c r="C25" s="18">
        <v>15</v>
      </c>
      <c r="D25" s="19" t="s">
        <v>26</v>
      </c>
    </row>
    <row r="26" spans="2:4">
      <c r="B26" s="18" t="s">
        <v>27</v>
      </c>
      <c r="C26" s="18">
        <v>340</v>
      </c>
      <c r="D26" s="19" t="s">
        <v>28</v>
      </c>
    </row>
    <row r="27" spans="2:4">
      <c r="B27" s="18"/>
      <c r="C27" s="18"/>
      <c r="D27" s="18"/>
    </row>
    <row r="28" spans="2:4">
      <c r="B28" s="18"/>
      <c r="C28" s="18"/>
      <c r="D28" s="18"/>
    </row>
    <row r="29" spans="2:4">
      <c r="B29" s="18"/>
      <c r="C29" s="18"/>
      <c r="D29" s="18"/>
    </row>
    <row r="30" spans="2:4">
      <c r="B30" s="18"/>
      <c r="C30" s="18"/>
      <c r="D30" s="18"/>
    </row>
    <row r="31" spans="2:4">
      <c r="B31" s="18"/>
      <c r="C31" s="18"/>
      <c r="D31" s="18"/>
    </row>
    <row r="32" spans="2:4">
      <c r="B32" s="18"/>
      <c r="C32" s="18"/>
      <c r="D32" s="18"/>
    </row>
    <row r="33" spans="2:4">
      <c r="B33" s="18"/>
      <c r="C33" s="18"/>
      <c r="D33" s="18"/>
    </row>
    <row r="34" spans="2:4">
      <c r="B34" s="18"/>
      <c r="C34" s="18"/>
      <c r="D34" s="18"/>
    </row>
    <row r="35" spans="2:4">
      <c r="B35" s="20"/>
      <c r="C35" s="20"/>
      <c r="D35" s="20"/>
    </row>
    <row r="36" spans="2:4">
      <c r="B36" s="13" t="s">
        <v>29</v>
      </c>
      <c r="C36" s="14">
        <f>SUM(C37:C55)</f>
        <v>227</v>
      </c>
      <c r="D36" s="21" t="s">
        <v>30</v>
      </c>
    </row>
    <row r="37" spans="2:4">
      <c r="B37" s="16" t="s">
        <v>31</v>
      </c>
      <c r="C37" s="16">
        <v>185</v>
      </c>
      <c r="D37" s="17" t="s">
        <v>32</v>
      </c>
    </row>
    <row r="38" spans="2:4">
      <c r="B38" s="18" t="s">
        <v>33</v>
      </c>
      <c r="C38" s="18">
        <v>40</v>
      </c>
      <c r="D38" s="19" t="s">
        <v>34</v>
      </c>
    </row>
    <row r="39" spans="2:4">
      <c r="B39" s="18" t="s">
        <v>35</v>
      </c>
      <c r="C39" s="18">
        <v>2</v>
      </c>
      <c r="D39" s="22" t="s">
        <v>36</v>
      </c>
    </row>
    <row r="40" spans="2:4">
      <c r="B40" s="18"/>
      <c r="C40" s="18"/>
      <c r="D40" s="18"/>
    </row>
    <row r="41" spans="2:4">
      <c r="B41" s="18"/>
      <c r="C41" s="18"/>
      <c r="D41" s="18"/>
    </row>
    <row r="42" spans="2:4">
      <c r="B42" s="18"/>
      <c r="C42" s="18"/>
      <c r="D42" s="18"/>
    </row>
    <row r="43" spans="2:4">
      <c r="B43" s="18"/>
      <c r="C43" s="18"/>
      <c r="D43" s="18"/>
    </row>
    <row r="44" spans="2:4">
      <c r="B44" s="18"/>
      <c r="C44" s="18"/>
      <c r="D44" s="18"/>
    </row>
    <row r="45" spans="2:4">
      <c r="B45" s="18"/>
      <c r="C45" s="18"/>
      <c r="D45" s="18"/>
    </row>
    <row r="46" spans="2:4">
      <c r="B46" s="18"/>
      <c r="C46" s="18"/>
      <c r="D46" s="18"/>
    </row>
    <row r="47" spans="2:4">
      <c r="B47" s="18"/>
      <c r="C47" s="18"/>
      <c r="D47" s="18"/>
    </row>
    <row r="48" spans="2:4">
      <c r="B48" s="18"/>
      <c r="C48" s="18"/>
      <c r="D48" s="18"/>
    </row>
    <row r="49" spans="2:4">
      <c r="B49" s="18"/>
      <c r="C49" s="18"/>
      <c r="D49" s="18"/>
    </row>
    <row r="50" spans="2:4">
      <c r="B50" s="18"/>
      <c r="C50" s="18"/>
      <c r="D50" s="18"/>
    </row>
    <row r="51" spans="2:4">
      <c r="B51" s="18"/>
      <c r="C51" s="18"/>
      <c r="D51" s="18"/>
    </row>
    <row r="52" spans="2:4">
      <c r="B52" s="18"/>
      <c r="C52" s="18"/>
      <c r="D52" s="18"/>
    </row>
    <row r="53" spans="2:4">
      <c r="B53" s="18"/>
      <c r="C53" s="18"/>
      <c r="D53" s="18"/>
    </row>
    <row r="54" spans="2:4">
      <c r="B54" s="18"/>
      <c r="C54" s="18"/>
      <c r="D54" s="18"/>
    </row>
    <row r="55" spans="2:4">
      <c r="B55" s="18"/>
      <c r="C55" s="18"/>
      <c r="D55" s="18"/>
    </row>
  </sheetData>
  <hyperlinks>
    <hyperlink ref="D4" r:id="rId1" display="https://allegro.pl/oferta/prog-progi-le-pr-vw-golf-ii-jetta-5d-83-92-ocynk-12138708345"/>
    <hyperlink ref="D5" r:id="rId2" display="https://allegro.pl/oferta/vw-golf-iii-podloga-reperaturka-podlogi-klokker-prawa-10110952779"/>
    <hyperlink ref="D6" r:id="rId3" display="https://allegro.pl/oferta/vw-golf-ii-mk2-83-92-pas-tyl-tylny-dolny-nowy-13285088132"/>
    <hyperlink ref="D37" r:id="rId4" display="https://allegro.pl/oferta/dziurkarko-felcarka-pneumatyczna-5mm-ne00588-16123509982" tooltip="https://allegro.pl/oferta/dziurkarko-felcarka-pneumatyczna-5mm-ne00588-16123509982"/>
    <hyperlink ref="D7" r:id="rId5" display="https://www.stalserwis24.pl/asortyment/blachy/blachy-zimnowalcowane/blacha-15-x-1250-x-2500/"/>
    <hyperlink ref="D38" r:id="rId6" display="https://allegro.pl/oferta/drut-spawalniczy-gold-sg2-0-8-mm-5-kg-15880921653"/>
    <hyperlink ref="D39" r:id="rId7" display="https://allegro.pl/produkt/koncowka-pradowa-1-0mm-mb-501-m8x30x9-57feb2e6-266e-4cd9-ae34-b162f60f4783" tooltip="https://allegro.pl/produkt/koncowka-pradowa-1-0mm-mb-501-m8x30x9-57feb2e6-266e-4cd9-ae34-b162f60f4783"/>
    <hyperlink ref="D21" r:id="rId8" display="https://allegro.pl/oferta/tarcza-x2-klocki-przod-seat-volkswagen-cordoba-golf-ii-iii-ibiza-6517575922"/>
    <hyperlink ref="D22" r:id="rId9" display="https://allegro.pl/oferta/amortyzatory-sprezyny-poduszki-vw-golf-ii-iii-kpl-14255829843"/>
    <hyperlink ref="D23" r:id="rId10" display="https://allegro.pl/oferta/2x-wahacz-komplet-sworznie-tuleje-vw-golf-ii-jetta-ii-polo-cordoba-toledo-i-15444402280"/>
    <hyperlink ref="D24" r:id="rId11" display="https://allegro.pl/oferta/koncowka-drazka-vw-golf-ii-iii-iv-passat-88-prawa-191419812-18034144690"/>
    <hyperlink ref="D25" r:id="rId12" display="https://allegro.pl/oferta/koncowka-drazka-golf-ii-golf-iii-ibiza-02-lewa-jte344-191419811-18034142897"/>
    <hyperlink ref="D26" r:id="rId13" display="https://allegro.pl/oferta/rama-belka-sanki-wozek-kolyska-przod-vw-golf-ii-seat-toledo-i-17858721888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WPS_1712054492</cp:lastModifiedBy>
  <dcterms:created xsi:type="dcterms:W3CDTF">2025-12-28T17:28:00Z</dcterms:created>
  <dcterms:modified xsi:type="dcterms:W3CDTF">2025-12-29T11:05:37Z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021DDAA451064A6B88BF958BB200DAF2_13</vt:lpwstr>
  </property>
  <property fmtid="{D5CDD505-2E9C-101B-9397-08002B2CF9AE}" pid="3" name="KSOProductBuildVer">
    <vt:lpwstr>1045-12.2.0.23196</vt:lpwstr>
  </property>
</Properties>
</file>